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ssingment\"/>
    </mc:Choice>
  </mc:AlternateContent>
  <bookViews>
    <workbookView xWindow="0" yWindow="0" windowWidth="23040" windowHeight="10224" activeTab="2"/>
  </bookViews>
  <sheets>
    <sheet name="Review Table" sheetId="1" r:id="rId1"/>
    <sheet name="Dashboard" sheetId="2" r:id="rId2"/>
    <sheet name="Notes" sheetId="3" r:id="rId3"/>
  </sheets>
  <definedNames>
    <definedName name="_xlnm._FilterDatabase" localSheetId="0" hidden="1">'Review Table'!$A$1:$K$18</definedName>
  </definedNames>
  <calcPr calcId="162913"/>
</workbook>
</file>

<file path=xl/calcChain.xml><?xml version="1.0" encoding="utf-8"?>
<calcChain xmlns="http://schemas.openxmlformats.org/spreadsheetml/2006/main">
  <c r="B12" i="2" l="1"/>
  <c r="B11" i="2"/>
  <c r="B10" i="2"/>
  <c r="B9" i="2"/>
  <c r="B8" i="2"/>
  <c r="B7" i="2"/>
  <c r="B6" i="2"/>
  <c r="B5" i="2"/>
</calcChain>
</file>

<file path=xl/sharedStrings.xml><?xml version="1.0" encoding="utf-8"?>
<sst xmlns="http://schemas.openxmlformats.org/spreadsheetml/2006/main" count="200" uniqueCount="165">
  <si>
    <t>Date</t>
  </si>
  <si>
    <t>Paper Title</t>
  </si>
  <si>
    <t>URL/DOI</t>
  </si>
  <si>
    <t>Read / Not Read</t>
  </si>
  <si>
    <t>Source / Database</t>
  </si>
  <si>
    <t>Published Year</t>
  </si>
  <si>
    <t>Paper Focus / Objective</t>
  </si>
  <si>
    <t>Methodology</t>
  </si>
  <si>
    <t>Techniques / Technologies Used</t>
  </si>
  <si>
    <t>Dataset / Data Used</t>
  </si>
  <si>
    <t>Key Results / Findings</t>
  </si>
  <si>
    <t>2026-10-16</t>
  </si>
  <si>
    <t>Radford, A. et al. (2023). Robust speech recognition via large-scale weak supervision.</t>
  </si>
  <si>
    <t>https://doi.org/10.48550/arXiv.2212.04356</t>
  </si>
  <si>
    <t>Abstract reviewed</t>
  </si>
  <si>
    <t>arXiv + PMLR ICML 2023 proceedings (verified abstract)</t>
  </si>
  <si>
    <t>Test whether weakly-supervised pretraining at scale yields robust speech recognition.</t>
  </si>
  <si>
    <t>Encoder-decoder Transformer trained on web audio-transcript pairs; zero-shot benchmark evaluation.</t>
  </si>
  <si>
    <t>Multitask encoder-decoder Transformer; 680,000 hours weakly-supervised audio.</t>
  </si>
  <si>
    <t>Standard ASR benchmarks plus multilingual sets; human-parity comparison.</t>
  </si>
  <si>
    <t>Zero-shot Whisper matches supervised results and approaches human robustness; released models and code. Direct basis for speech-first assistants.</t>
  </si>
  <si>
    <t>Google AI for Developers (docs). Gemini Live API: realtime voice and vision interactions.</t>
  </si>
  <si>
    <t>https://ai.google.dev/gemini-api/docs/live</t>
  </si>
  <si>
    <t>Google AI for Developers documentation (verified excerpts)</t>
  </si>
  <si>
    <t>Document the realtime bidirectional voice/video API: VAD, barge-in, tool use, transcriptions, session management.</t>
  </si>
  <si>
    <t>Technical documentation with reference implementation (GenAI SDK + PyAudio, 16 kHz in / 24 kHz out).</t>
  </si>
  <si>
    <t>Stateful WebSocket sessions; native-audio model; function calling; ephemeral tokens.</t>
  </si>
  <si>
    <t>N/A (platform documentation with code samples).</t>
  </si>
  <si>
    <t>Specifies the exact contract A.P.A implements (PCM rates, barge-in, tool use); confirms server-side auth pattern used by the backend.</t>
  </si>
  <si>
    <t>McLean, G. &amp; Osei-Frimpong, K. (2019). Hey Alexa... examine the variables influencing the use of artificial intelligent in-home voice assistants.</t>
  </si>
  <si>
    <t>https://doi.org/10.1016/j.chb.2019.05.009</t>
  </si>
  <si>
    <t>Strathprints repository + ScienceDirect (verified abstract)</t>
  </si>
  <si>
    <t>Explain what motivates adoption and use of in-home voice assistants.</t>
  </si>
  <si>
    <t>Structural equation modelling of a uses-and-gratifications + technology theory model.</t>
  </si>
  <si>
    <t>U&amp;GT framework; SEM validation.</t>
  </si>
  <si>
    <t>724 in-home voice-assistant users.</t>
  </si>
  <si>
    <t>Utilitarian, symbolic and social benefits drive use (hedonic only in small households); perceived privacy risk dampens use. Baselines for evaluating A.P.A acceptance.</t>
  </si>
  <si>
    <t>Brill, T.M., Munoz, L. &amp; Miller, R.J. (2019). Siri, Alexa, and other digital assistants: a study of customer satisfaction with artificial intelligence applications.</t>
  </si>
  <si>
    <t>https://doi.org/10.1080/0267257X.2019.1687571</t>
  </si>
  <si>
    <t>ResearchGate record (verified abstract and citation)</t>
  </si>
  <si>
    <t>Measure customer satisfaction with digital assistants and its drivers.</t>
  </si>
  <si>
    <t>Expectation-confirmation theory model tested with PLS-SEM.</t>
  </si>
  <si>
    <t>ECT constructs: expectations, perceived performance, confirmation, satisfaction.</t>
  </si>
  <si>
    <t>244 survey responses (72% Siri users).</t>
  </si>
  <si>
    <t>Expectations and their confirmation significantly drive satisfaction; users rank confirmation of expectations top priority. Sets the satisfaction bar A.P.A must clear.</t>
  </si>
  <si>
    <t>Wei, J. et al. (2022). Chain-of-thought prompting elicits reasoning in large language models.</t>
  </si>
  <si>
    <t>https://doi.org/10.48550/arXiv.2201.11903</t>
  </si>
  <si>
    <t>Cited in Yao et al. (2022) ReAct (verified citation)</t>
  </si>
  <si>
    <t>Show that intermediate reasoning steps unlock complex reasoning in LLMs.</t>
  </si>
  <si>
    <t>Few-shot prompting with reasoning chains across arithmetic, commonsense and symbolic benchmarks.</t>
  </si>
  <si>
    <t>Chain-of-thought prompting; large-model in-context reasoning.</t>
  </si>
  <si>
    <t>Math word problems, commonsense QA, symbolic reasoning suites.</t>
  </si>
  <si>
    <t>CoT substantially lifts multi-step reasoning; the reasoning-trace idea underpins ReAct-style agents and interpretable tool use.</t>
  </si>
  <si>
    <t>Brown, T.B. et al. (2020). Language models are few-shot learners.</t>
  </si>
  <si>
    <t>https://proceedings.neurips.cc/paper/2020/file/1457c0d6bfcb4967418bfb8ac142f64a-Paper.pdf</t>
  </si>
  <si>
    <t>NeurIPS 2020 proceedings (verified abstract)</t>
  </si>
  <si>
    <t>Demonstrate task-agnostic few-shot learning by scaling language models.</t>
  </si>
  <si>
    <t>Single 175B model evaluated zero/one/few-shot with no gradient updates.</t>
  </si>
  <si>
    <t>GPT-3 autoregressive Transformer; in-context learning.</t>
  </si>
  <si>
    <t>Translation, QA, cloze and SuperGLUE-style suites.</t>
  </si>
  <si>
    <t>Few-shot GPT-3 rivals fine-tuned SOTA on several tasks (e.g. 85.0 F1 CoQA few-shot). Foundational justification for A.P.A's zero-shot email triage.</t>
  </si>
  <si>
    <t>Schick, T. et al. (2023). Toolformer: language models can teach themselves to use tools.</t>
  </si>
  <si>
    <t>https://doi.org/10.48550/arXiv.2302.04761</t>
  </si>
  <si>
    <t>arXiv + NeurIPS 2023 proceedings (verified abstract)</t>
  </si>
  <si>
    <t>Teach LMs to decide which APIs to call, when, with what arguments, and how to use results.</t>
  </si>
  <si>
    <t>Self-supervised API-call annotation of pretraining data; API-filtered finetuning.</t>
  </si>
  <si>
    <t>Calculator, QA, search, translation and calendar APIs via inserted call tokens.</t>
  </si>
  <si>
    <t>CCNet-derived corpus plus downstream zero-shot benchmarks.</t>
  </si>
  <si>
    <t>Zero-shot gains often matching far larger models with no loss of LM ability. Core precedent for A.P.A's read/send/weather tool declarations.</t>
  </si>
  <si>
    <t>Yao, S. et al. (2022). ReAct: synergizing reasoning and acting in language models.</t>
  </si>
  <si>
    <t>https://doi.org/10.48550/arXiv.2210.03629</t>
  </si>
  <si>
    <t>arXiv + ICLR 2023 + Google Research blog (verified abstract)</t>
  </si>
  <si>
    <t>Unify reasoning traces and task actions so each improves the other.</t>
  </si>
  <si>
    <t>Interleaved Thought/Action/Observation prompting; finetuning small models on successful trajectories.</t>
  </si>
  <si>
    <t>Wikipedia API interaction; HotpotQA, Fever, ALFWorld, WebShop evaluation.</t>
  </si>
  <si>
    <t>HotpotQA/Fever QA sets; ALFWorld and WebShop interactive suites (+34% and +10% over IL/RL).</t>
  </si>
  <si>
    <t>Reason-act synergy cuts hallucination and yields interpretable trajectories. Design pattern for A.P.A's think-then-act voice loop and its Phase 2 subagents.</t>
  </si>
  <si>
    <t>Horvitz, E. (1999). Principles of mixed-initiative user interfaces.</t>
  </si>
  <si>
    <t>https://www.microsoft.com/en-us/research/wp-content/uploads/2016/11/chi99horvitz-1.pdf</t>
  </si>
  <si>
    <t>Microsoft Research (verified full-text excerpts)</t>
  </si>
  <si>
    <t>State principles for agents that collaborate with users under uncertainty.</t>
  </si>
  <si>
    <t>Principle derivation tested in the LookOut email-scheduling assistant.</t>
  </si>
  <si>
    <t>Expected-utility act/ask/wait thresholds; attention modelling; LookOut prototype.</t>
  </si>
  <si>
    <t>Email triage timing studies with several users.</t>
  </si>
  <si>
    <t>Twelve principles including attention-aware timing and deferring action; LookOut is the direct ancestor of proactive inbox assistants like A.P.A's monitor.</t>
  </si>
  <si>
    <t>Edwards, J. et al. (2021). Eliciting spoken interruptions to inform proactive speech agent design.</t>
  </si>
  <si>
    <t>https://doi.org/10.1145/3469595.3469618</t>
  </si>
  <si>
    <t>ACM Digital Library CUI 2021 (verified record)</t>
  </si>
  <si>
    <t>Learn how people time spoken interruptions to guide proactive agent design.</t>
  </si>
  <si>
    <t>Lab elicitation of human interruptions during complex tasks.</t>
  </si>
  <si>
    <t>Spoken-interruption elicitation protocol; urgency/timing analysis.</t>
  </si>
  <si>
    <t>Lab participants interrupting task performers.</t>
  </si>
  <si>
    <t>People interrupt sooner when urgent and trade speed against accuracy using task cues. Rules for when A.P.A may speak up versus stay silent.</t>
  </si>
  <si>
    <t>Nous Research (2026). Hermes Agent: the agent that grows with you.</t>
  </si>
  <si>
    <t>https://github.com/NousResearch/hermes-agent</t>
  </si>
  <si>
    <t>GitHub repository (visited and inspected Oct 2026)</t>
  </si>
  <si>
    <t>Ship a self-improving agent with memory, skills, scheduling and messaging gateways.</t>
  </si>
  <si>
    <t>Open-source engineering: gateway process, cron scheduler, subagents, MCP tools, multi-model providers.</t>
  </si>
  <si>
    <t>Persistent memory, autonomous skills, cron, Telegram/Discord/Slack gateways, terminal backends.</t>
  </si>
  <si>
    <t>Live open-source codebase (253k stars).</t>
  </si>
  <si>
    <t>Proves the autonomy stack A.P.A Phase 2 will mirror; studied as the subagent/memory reference. A.P.A differs by adding voice and a desktop face.</t>
  </si>
  <si>
    <t>Bilawalsidhu (2026). God's Eye View: live spatial intelligence on a photorealistic 3D globe.</t>
  </si>
  <si>
    <t>https://github.com/bilawalsidhu/gods-eye-view</t>
  </si>
  <si>
    <t>Unify live flights, ships, satellites, weather and cameras on one explorable globe with voice control.</t>
  </si>
  <si>
    <t>Open-source engineering: CesiumJS + 3D tiles, layered live feeds, OpenAI Realtime voice tools.</t>
  </si>
  <si>
    <t>CesiumJS globe, sensor shaders, click-to-track camera, 30 voice tools, MCP server.</t>
  </si>
  <si>
    <t>Live public feeds (OpenSky, AIS, CelesTrak, USGS, NOAA).</t>
  </si>
  <si>
    <t>Visual reference for A.P.A's weather globe; A.P.A substitutes bundled textures plus keyless data to avoid tokenised tiles. Reached #1 GitHub trending Aug 2026.</t>
  </si>
  <si>
    <t>Androutsopoulos, I. et al. (2000). Learning to filter spam e-mail: a comparison of a Naive Bayesian and a memory-based approach.</t>
  </si>
  <si>
    <t>https://doi.org/10.48550/arXiv.cs/0009009</t>
  </si>
  <si>
    <t>arXiv + PKDD 2000 proceedings (verified abstract)</t>
  </si>
  <si>
    <t>Establish ML benchmarks for automatic anti-spam filtering.</t>
  </si>
  <si>
    <t>Naive Bayes vs TiMBL memory-based classifier with cost-sensitive measures on a public corpus.</t>
  </si>
  <si>
    <t>Naive Bayes, memory-based TiMBL, keyword baseline.</t>
  </si>
  <si>
    <t>Public email corpus (Ling-Spam lineage).</t>
  </si>
  <si>
    <t>Both learners beat keyword filters clearly and perform comparably. Origin of train-on-content email classification that A.P.A's triage descends from.</t>
  </si>
  <si>
    <t>Tida, V.S. &amp; Hsu, S. (2022). Universal spam detection using transfer learning of BERT model.</t>
  </si>
  <si>
    <t>https://doi.org/10.48550/arXiv.2202.03480</t>
  </si>
  <si>
    <t>arXiv (verified abstract)</t>
  </si>
  <si>
    <t>Build one universal transformer spam detector across corpora.</t>
  </si>
  <si>
    <t>Single BERT-base model finetuned jointly on four corpora.</t>
  </si>
  <si>
    <t>Pretrained BERT-base uncased; Hugging Face Transformers.</t>
  </si>
  <si>
    <t>Enron, SpamAssassin, LingSpam, SpamText corpora (97% accuracy, 0.96 F1).</t>
  </si>
  <si>
    <t>One model generalises across all four sets. Evidence that pretrained transformers transfer across mail domains - supports prompt-based triage without per-user training.</t>
  </si>
  <si>
    <t>Sahmoud, T. &amp; Mikki, M. (2022). Spam detection using BERT.</t>
  </si>
  <si>
    <t>https://doi.org/10.48550/arXiv.2206.02443</t>
  </si>
  <si>
    <t>Classify email and SMS by context with a pretrained transformer.</t>
  </si>
  <si>
    <t>BERT finetuned separately per corpus.</t>
  </si>
  <si>
    <t>BERT contextual classification.</t>
  </si>
  <si>
    <t>Enron, SpamAssassin, Ling-Spam, SMS corpora (97.83-99.28%).</t>
  </si>
  <si>
    <t>Context understanding beats feature engineering for mail; near-perfect scores motivate transformer-grade triage quality targets.</t>
  </si>
  <si>
    <t>(arXiv 2505.02362, 2025). Advancing email spam detection: leveraging zero-shot learning and large language models.</t>
  </si>
  <si>
    <t>https://arxiv.org/abs/2505.02362</t>
  </si>
  <si>
    <t>arXiv (verified abstract; authors per record)</t>
  </si>
  <si>
    <t>Detect spam with zero labelled examples via LLM semantics.</t>
  </si>
  <si>
    <t>BERT summarisation plus FLAN-T5 zero-shot classification in a shared semantic space.</t>
  </si>
  <si>
    <t>BERT preprocessing; FLAN-T5 zero-shot classification.</t>
  </si>
  <si>
    <t>Standard spam corpora under zero-shot protocol.</t>
  </si>
  <si>
    <t>Zero-shot LLM classification addresses data scarcity and evolving tactics. Closest published precedent to A.P.A's zero-shot inbox triage.</t>
  </si>
  <si>
    <t>Akinyelu, A.A. (2021). Advances in spam detection for email spam, web spam, social network spam, and review spam.</t>
  </si>
  <si>
    <t>https://doi.org/10.3233/JCS-210022</t>
  </si>
  <si>
    <t>SAGE Journals record (verified citation entry)</t>
  </si>
  <si>
    <t>Survey ML and nature-inspired spam detection across four spam genres.</t>
  </si>
  <si>
    <t>Literature survey with method taxonomy.</t>
  </si>
  <si>
    <t>Naive Bayes through deep and nature-inspired methods.</t>
  </si>
  <si>
    <t>Surveyed spam-detection literature.</t>
  </si>
  <si>
    <t>ML-based solutions are the most effective family; deep contextual models lead. Frames A.P.A's place at the current frontier.</t>
  </si>
  <si>
    <t>Review Table - Summary Dashboard (A.P.A AI assistant)</t>
  </si>
  <si>
    <t>Compiled 2026-10-16. Status defaults to 'Abstract reviewed' - upgrade rows as full texts are read.</t>
  </si>
  <si>
    <t>Metric</t>
  </si>
  <si>
    <t>Value</t>
  </si>
  <si>
    <t>Total papers</t>
  </si>
  <si>
    <t>Read (full text)</t>
  </si>
  <si>
    <t>Not read</t>
  </si>
  <si>
    <t>Earliest publication</t>
  </si>
  <si>
    <t>Latest publication</t>
  </si>
  <si>
    <t>Voice/speech rows</t>
  </si>
  <si>
    <t>Email rows</t>
  </si>
  <si>
    <t>Legend: add papers as new rows keeping the 11 columns, then extend the ranges (B/D/F/G) on this sheet. Date records the honest review date. Status is a dropdown: upgrade to 'Read (full text)' as papers are fully read.</t>
  </si>
  <si>
    <t>Research notes (A.P.A AI assistant)</t>
  </si>
  <si>
    <t>- Scope: voice-driven desktop assistant - realtime speech APIs, LLM tool use, zero-shot email understanding, proactive behaviour, and reference systems.</t>
  </si>
  <si>
    <t>- Search rounds ran on 2026-10-16: (1) tool use and agent reasoning, (2) speech recognition and few-shot learning, (3) voice-assistant adoption, (4) email classification, (5) proactive/mixed-initiative agents plus API docs and reference repos.</t>
  </si>
  <si>
    <t>- Every row was verified against a live source on the review date; findings are paraphrased from verified abstracts and records - confirm against full texts before final citation.</t>
  </si>
  <si>
    <t>- Coverage: speech/voice foundation (Whisper, Live API, adoption studies, proactive speech), reasoning and tools (CoT, GPT-3 few-shot, Toolformer, ReAct), email AI (classics to zero-shot LLM), initiative design (Horvitz), and two inspected reference systems (Hermes, God's Eye).</t>
  </si>
  <si>
    <t>- Next: read full texts of the tool-use and email rows feeding the final report background chapter.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</si>
</sst>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color rgb="FF1F3864"/>
      <name val="Arial"/>
    </font>
    <font>
      <i/>
      <sz val="10"/>
      <name val="Arial"/>
    </font>
    <font>
      <sz val="11"/>
      <name val="Arial"/>
    </font>
    <font>
      <b/>
      <sz val="11"/>
      <name val="Arial"/>
    </font>
    <font>
      <i/>
      <sz val="9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0" xfId="0" applyFont="1"/>
    <xf numFmtId="0" fontId="4" fillId="0" borderId="0" xfId="0" applyFont="1"/>
    <xf numFmtId="0" fontId="1" fillId="2" borderId="1" xfId="0" applyFont="1" applyFill="1" applyBorder="1"/>
    <xf numFmtId="0" fontId="5" fillId="0" borderId="1" xfId="0" applyFont="1" applyBorder="1"/>
    <xf numFmtId="0" fontId="6" fillId="0" borderId="1" xfId="0" applyFont="1" applyBorder="1"/>
    <xf numFmtId="0" fontId="5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0" fillId="0" borderId="0" xfId="0"/>
    <xf numFmtId="0" fontId="8" fillId="3" borderId="1" xfId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48550/arXiv.2212.043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8"/>
  <sheetViews>
    <sheetView workbookViewId="0">
      <pane ySplit="1" topLeftCell="A2" activePane="bottomLeft" state="frozen"/>
      <selection pane="bottomLeft" activeCell="C2" sqref="C2"/>
    </sheetView>
  </sheetViews>
  <sheetFormatPr defaultRowHeight="14.4" x14ac:dyDescent="0.3"/>
  <cols>
    <col min="1" max="1" width="13" customWidth="1"/>
    <col min="2" max="2" width="36" customWidth="1"/>
    <col min="3" max="3" width="30" customWidth="1"/>
    <col min="4" max="4" width="16" customWidth="1"/>
    <col min="5" max="5" width="28" customWidth="1"/>
    <col min="6" max="6" width="14" customWidth="1"/>
    <col min="7" max="7" width="34" customWidth="1"/>
    <col min="8" max="8" width="30" customWidth="1"/>
    <col min="9" max="9" width="34" customWidth="1"/>
    <col min="10" max="10" width="32" customWidth="1"/>
    <col min="11" max="11" width="48" customWidth="1"/>
  </cols>
  <sheetData>
    <row r="1" spans="1:11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52.8" x14ac:dyDescent="0.3">
      <c r="A2" s="2" t="s">
        <v>11</v>
      </c>
      <c r="B2" s="3" t="s">
        <v>12</v>
      </c>
      <c r="C2" s="14" t="s">
        <v>13</v>
      </c>
      <c r="D2" s="2" t="s">
        <v>14</v>
      </c>
      <c r="E2" s="3" t="s">
        <v>15</v>
      </c>
      <c r="F2" s="2">
        <v>2023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 spans="1:11" ht="52.8" x14ac:dyDescent="0.3">
      <c r="A3" s="4" t="s">
        <v>11</v>
      </c>
      <c r="B3" s="5" t="s">
        <v>21</v>
      </c>
      <c r="C3" s="5" t="s">
        <v>22</v>
      </c>
      <c r="D3" s="4" t="s">
        <v>14</v>
      </c>
      <c r="E3" s="5" t="s">
        <v>23</v>
      </c>
      <c r="F3" s="4">
        <v>2025</v>
      </c>
      <c r="G3" s="5" t="s">
        <v>24</v>
      </c>
      <c r="H3" s="5" t="s">
        <v>25</v>
      </c>
      <c r="I3" s="5" t="s">
        <v>26</v>
      </c>
      <c r="J3" s="5" t="s">
        <v>27</v>
      </c>
      <c r="K3" s="5" t="s">
        <v>28</v>
      </c>
    </row>
    <row r="4" spans="1:11" ht="52.8" x14ac:dyDescent="0.3">
      <c r="A4" s="2" t="s">
        <v>11</v>
      </c>
      <c r="B4" s="3" t="s">
        <v>29</v>
      </c>
      <c r="C4" s="3" t="s">
        <v>30</v>
      </c>
      <c r="D4" s="2" t="s">
        <v>14</v>
      </c>
      <c r="E4" s="3" t="s">
        <v>31</v>
      </c>
      <c r="F4" s="2">
        <v>2019</v>
      </c>
      <c r="G4" s="3" t="s">
        <v>32</v>
      </c>
      <c r="H4" s="3" t="s">
        <v>33</v>
      </c>
      <c r="I4" s="3" t="s">
        <v>34</v>
      </c>
      <c r="J4" s="3" t="s">
        <v>35</v>
      </c>
      <c r="K4" s="3" t="s">
        <v>36</v>
      </c>
    </row>
    <row r="5" spans="1:11" ht="52.8" x14ac:dyDescent="0.3">
      <c r="A5" s="4" t="s">
        <v>11</v>
      </c>
      <c r="B5" s="5" t="s">
        <v>37</v>
      </c>
      <c r="C5" s="5" t="s">
        <v>38</v>
      </c>
      <c r="D5" s="4" t="s">
        <v>14</v>
      </c>
      <c r="E5" s="5" t="s">
        <v>39</v>
      </c>
      <c r="F5" s="4">
        <v>2019</v>
      </c>
      <c r="G5" s="5" t="s">
        <v>40</v>
      </c>
      <c r="H5" s="5" t="s">
        <v>41</v>
      </c>
      <c r="I5" s="5" t="s">
        <v>42</v>
      </c>
      <c r="J5" s="5" t="s">
        <v>43</v>
      </c>
      <c r="K5" s="5" t="s">
        <v>44</v>
      </c>
    </row>
    <row r="6" spans="1:11" ht="52.8" x14ac:dyDescent="0.3">
      <c r="A6" s="2" t="s">
        <v>11</v>
      </c>
      <c r="B6" s="3" t="s">
        <v>45</v>
      </c>
      <c r="C6" s="3" t="s">
        <v>46</v>
      </c>
      <c r="D6" s="2" t="s">
        <v>14</v>
      </c>
      <c r="E6" s="3" t="s">
        <v>47</v>
      </c>
      <c r="F6" s="2">
        <v>2022</v>
      </c>
      <c r="G6" s="3" t="s">
        <v>48</v>
      </c>
      <c r="H6" s="3" t="s">
        <v>49</v>
      </c>
      <c r="I6" s="3" t="s">
        <v>50</v>
      </c>
      <c r="J6" s="3" t="s">
        <v>51</v>
      </c>
      <c r="K6" s="3" t="s">
        <v>52</v>
      </c>
    </row>
    <row r="7" spans="1:11" ht="39.6" x14ac:dyDescent="0.3">
      <c r="A7" s="4" t="s">
        <v>11</v>
      </c>
      <c r="B7" s="5" t="s">
        <v>53</v>
      </c>
      <c r="C7" s="5" t="s">
        <v>54</v>
      </c>
      <c r="D7" s="4" t="s">
        <v>14</v>
      </c>
      <c r="E7" s="5" t="s">
        <v>55</v>
      </c>
      <c r="F7" s="4">
        <v>2020</v>
      </c>
      <c r="G7" s="5" t="s">
        <v>56</v>
      </c>
      <c r="H7" s="5" t="s">
        <v>57</v>
      </c>
      <c r="I7" s="5" t="s">
        <v>58</v>
      </c>
      <c r="J7" s="5" t="s">
        <v>59</v>
      </c>
      <c r="K7" s="5" t="s">
        <v>60</v>
      </c>
    </row>
    <row r="8" spans="1:11" ht="39.6" x14ac:dyDescent="0.3">
      <c r="A8" s="2" t="s">
        <v>11</v>
      </c>
      <c r="B8" s="3" t="s">
        <v>61</v>
      </c>
      <c r="C8" s="3" t="s">
        <v>62</v>
      </c>
      <c r="D8" s="2" t="s">
        <v>14</v>
      </c>
      <c r="E8" s="3" t="s">
        <v>63</v>
      </c>
      <c r="F8" s="2">
        <v>2023</v>
      </c>
      <c r="G8" s="3" t="s">
        <v>64</v>
      </c>
      <c r="H8" s="3" t="s">
        <v>65</v>
      </c>
      <c r="I8" s="3" t="s">
        <v>66</v>
      </c>
      <c r="J8" s="3" t="s">
        <v>67</v>
      </c>
      <c r="K8" s="3" t="s">
        <v>68</v>
      </c>
    </row>
    <row r="9" spans="1:11" ht="52.8" x14ac:dyDescent="0.3">
      <c r="A9" s="4" t="s">
        <v>11</v>
      </c>
      <c r="B9" s="5" t="s">
        <v>69</v>
      </c>
      <c r="C9" s="5" t="s">
        <v>70</v>
      </c>
      <c r="D9" s="4" t="s">
        <v>14</v>
      </c>
      <c r="E9" s="5" t="s">
        <v>71</v>
      </c>
      <c r="F9" s="4">
        <v>2022</v>
      </c>
      <c r="G9" s="5" t="s">
        <v>72</v>
      </c>
      <c r="H9" s="5" t="s">
        <v>73</v>
      </c>
      <c r="I9" s="5" t="s">
        <v>74</v>
      </c>
      <c r="J9" s="5" t="s">
        <v>75</v>
      </c>
      <c r="K9" s="5" t="s">
        <v>76</v>
      </c>
    </row>
    <row r="10" spans="1:11" ht="52.8" x14ac:dyDescent="0.3">
      <c r="A10" s="2" t="s">
        <v>11</v>
      </c>
      <c r="B10" s="3" t="s">
        <v>77</v>
      </c>
      <c r="C10" s="3" t="s">
        <v>78</v>
      </c>
      <c r="D10" s="2" t="s">
        <v>14</v>
      </c>
      <c r="E10" s="3" t="s">
        <v>79</v>
      </c>
      <c r="F10" s="2">
        <v>1999</v>
      </c>
      <c r="G10" s="3" t="s">
        <v>80</v>
      </c>
      <c r="H10" s="3" t="s">
        <v>81</v>
      </c>
      <c r="I10" s="3" t="s">
        <v>82</v>
      </c>
      <c r="J10" s="3" t="s">
        <v>83</v>
      </c>
      <c r="K10" s="3" t="s">
        <v>84</v>
      </c>
    </row>
    <row r="11" spans="1:11" ht="39.6" x14ac:dyDescent="0.3">
      <c r="A11" s="4" t="s">
        <v>11</v>
      </c>
      <c r="B11" s="5" t="s">
        <v>85</v>
      </c>
      <c r="C11" s="5" t="s">
        <v>86</v>
      </c>
      <c r="D11" s="4" t="s">
        <v>14</v>
      </c>
      <c r="E11" s="5" t="s">
        <v>87</v>
      </c>
      <c r="F11" s="4">
        <v>2021</v>
      </c>
      <c r="G11" s="5" t="s">
        <v>88</v>
      </c>
      <c r="H11" s="5" t="s">
        <v>89</v>
      </c>
      <c r="I11" s="5" t="s">
        <v>90</v>
      </c>
      <c r="J11" s="5" t="s">
        <v>91</v>
      </c>
      <c r="K11" s="5" t="s">
        <v>92</v>
      </c>
    </row>
    <row r="12" spans="1:11" ht="52.8" x14ac:dyDescent="0.3">
      <c r="A12" s="2" t="s">
        <v>11</v>
      </c>
      <c r="B12" s="3" t="s">
        <v>93</v>
      </c>
      <c r="C12" s="3" t="s">
        <v>94</v>
      </c>
      <c r="D12" s="2" t="s">
        <v>14</v>
      </c>
      <c r="E12" s="3" t="s">
        <v>95</v>
      </c>
      <c r="F12" s="2">
        <v>2026</v>
      </c>
      <c r="G12" s="3" t="s">
        <v>96</v>
      </c>
      <c r="H12" s="3" t="s">
        <v>97</v>
      </c>
      <c r="I12" s="3" t="s">
        <v>98</v>
      </c>
      <c r="J12" s="3" t="s">
        <v>99</v>
      </c>
      <c r="K12" s="3" t="s">
        <v>100</v>
      </c>
    </row>
    <row r="13" spans="1:11" ht="52.8" x14ac:dyDescent="0.3">
      <c r="A13" s="4" t="s">
        <v>11</v>
      </c>
      <c r="B13" s="5" t="s">
        <v>101</v>
      </c>
      <c r="C13" s="5" t="s">
        <v>102</v>
      </c>
      <c r="D13" s="4" t="s">
        <v>14</v>
      </c>
      <c r="E13" s="5" t="s">
        <v>95</v>
      </c>
      <c r="F13" s="4">
        <v>2026</v>
      </c>
      <c r="G13" s="5" t="s">
        <v>103</v>
      </c>
      <c r="H13" s="5" t="s">
        <v>104</v>
      </c>
      <c r="I13" s="5" t="s">
        <v>105</v>
      </c>
      <c r="J13" s="5" t="s">
        <v>106</v>
      </c>
      <c r="K13" s="5" t="s">
        <v>107</v>
      </c>
    </row>
    <row r="14" spans="1:11" ht="52.8" x14ac:dyDescent="0.3">
      <c r="A14" s="2" t="s">
        <v>11</v>
      </c>
      <c r="B14" s="3" t="s">
        <v>108</v>
      </c>
      <c r="C14" s="3" t="s">
        <v>109</v>
      </c>
      <c r="D14" s="2" t="s">
        <v>14</v>
      </c>
      <c r="E14" s="3" t="s">
        <v>110</v>
      </c>
      <c r="F14" s="2">
        <v>2000</v>
      </c>
      <c r="G14" s="3" t="s">
        <v>111</v>
      </c>
      <c r="H14" s="3" t="s">
        <v>112</v>
      </c>
      <c r="I14" s="3" t="s">
        <v>113</v>
      </c>
      <c r="J14" s="3" t="s">
        <v>114</v>
      </c>
      <c r="K14" s="3" t="s">
        <v>115</v>
      </c>
    </row>
    <row r="15" spans="1:11" ht="52.8" x14ac:dyDescent="0.3">
      <c r="A15" s="4" t="s">
        <v>11</v>
      </c>
      <c r="B15" s="5" t="s">
        <v>116</v>
      </c>
      <c r="C15" s="5" t="s">
        <v>117</v>
      </c>
      <c r="D15" s="4" t="s">
        <v>14</v>
      </c>
      <c r="E15" s="5" t="s">
        <v>118</v>
      </c>
      <c r="F15" s="4">
        <v>2022</v>
      </c>
      <c r="G15" s="5" t="s">
        <v>119</v>
      </c>
      <c r="H15" s="5" t="s">
        <v>120</v>
      </c>
      <c r="I15" s="5" t="s">
        <v>121</v>
      </c>
      <c r="J15" s="5" t="s">
        <v>122</v>
      </c>
      <c r="K15" s="5" t="s">
        <v>123</v>
      </c>
    </row>
    <row r="16" spans="1:11" ht="39.6" x14ac:dyDescent="0.3">
      <c r="A16" s="2" t="s">
        <v>11</v>
      </c>
      <c r="B16" s="3" t="s">
        <v>124</v>
      </c>
      <c r="C16" s="3" t="s">
        <v>125</v>
      </c>
      <c r="D16" s="2" t="s">
        <v>14</v>
      </c>
      <c r="E16" s="3" t="s">
        <v>118</v>
      </c>
      <c r="F16" s="2">
        <v>2022</v>
      </c>
      <c r="G16" s="3" t="s">
        <v>126</v>
      </c>
      <c r="H16" s="3" t="s">
        <v>127</v>
      </c>
      <c r="I16" s="3" t="s">
        <v>128</v>
      </c>
      <c r="J16" s="3" t="s">
        <v>129</v>
      </c>
      <c r="K16" s="3" t="s">
        <v>130</v>
      </c>
    </row>
    <row r="17" spans="1:11" ht="39.6" x14ac:dyDescent="0.3">
      <c r="A17" s="4" t="s">
        <v>11</v>
      </c>
      <c r="B17" s="5" t="s">
        <v>131</v>
      </c>
      <c r="C17" s="5" t="s">
        <v>132</v>
      </c>
      <c r="D17" s="4" t="s">
        <v>14</v>
      </c>
      <c r="E17" s="5" t="s">
        <v>133</v>
      </c>
      <c r="F17" s="4">
        <v>2025</v>
      </c>
      <c r="G17" s="5" t="s">
        <v>134</v>
      </c>
      <c r="H17" s="5" t="s">
        <v>135</v>
      </c>
      <c r="I17" s="5" t="s">
        <v>136</v>
      </c>
      <c r="J17" s="5" t="s">
        <v>137</v>
      </c>
      <c r="K17" s="5" t="s">
        <v>138</v>
      </c>
    </row>
    <row r="18" spans="1:11" ht="39.6" x14ac:dyDescent="0.3">
      <c r="A18" s="2" t="s">
        <v>11</v>
      </c>
      <c r="B18" s="3" t="s">
        <v>139</v>
      </c>
      <c r="C18" s="3" t="s">
        <v>140</v>
      </c>
      <c r="D18" s="2" t="s">
        <v>14</v>
      </c>
      <c r="E18" s="3" t="s">
        <v>141</v>
      </c>
      <c r="F18" s="2">
        <v>2021</v>
      </c>
      <c r="G18" s="3" t="s">
        <v>142</v>
      </c>
      <c r="H18" s="3" t="s">
        <v>143</v>
      </c>
      <c r="I18" s="3" t="s">
        <v>144</v>
      </c>
      <c r="J18" s="3" t="s">
        <v>145</v>
      </c>
      <c r="K18" s="3" t="s">
        <v>146</v>
      </c>
    </row>
  </sheetData>
  <autoFilter ref="A1:K18"/>
  <dataValidations count="1">
    <dataValidation type="list" sqref="D2:D18">
      <formula1>"Read (full text),Abstract reviewed,Not read"</formula1>
    </dataValidation>
  </dataValidations>
  <hyperlinks>
    <hyperlink ref="C2" r:id="rId1"/>
  </hyperlink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4.4" x14ac:dyDescent="0.3"/>
  <cols>
    <col min="1" max="1" width="84.21875" bestFit="1" customWidth="1"/>
    <col min="2" max="2" width="16" customWidth="1"/>
  </cols>
  <sheetData>
    <row r="1" spans="1:2" ht="17.399999999999999" x14ac:dyDescent="0.3">
      <c r="A1" s="6" t="s">
        <v>147</v>
      </c>
    </row>
    <row r="2" spans="1:2" x14ac:dyDescent="0.3">
      <c r="A2" s="7" t="s">
        <v>148</v>
      </c>
    </row>
    <row r="4" spans="1:2" x14ac:dyDescent="0.3">
      <c r="A4" s="8" t="s">
        <v>149</v>
      </c>
      <c r="B4" s="8" t="s">
        <v>150</v>
      </c>
    </row>
    <row r="5" spans="1:2" x14ac:dyDescent="0.3">
      <c r="A5" s="9" t="s">
        <v>151</v>
      </c>
      <c r="B5" s="10">
        <f>COUNTA('Review Table'!B2:B18)</f>
        <v>17</v>
      </c>
    </row>
    <row r="6" spans="1:2" x14ac:dyDescent="0.3">
      <c r="A6" s="9" t="s">
        <v>152</v>
      </c>
      <c r="B6" s="10">
        <f>COUNTIF('Review Table'!D2:D18,"Read (full text)")</f>
        <v>0</v>
      </c>
    </row>
    <row r="7" spans="1:2" x14ac:dyDescent="0.3">
      <c r="A7" s="9" t="s">
        <v>14</v>
      </c>
      <c r="B7" s="10">
        <f>COUNTIF('Review Table'!D2:D18,"Abstract reviewed")</f>
        <v>17</v>
      </c>
    </row>
    <row r="8" spans="1:2" x14ac:dyDescent="0.3">
      <c r="A8" s="9" t="s">
        <v>153</v>
      </c>
      <c r="B8" s="10">
        <f>COUNTIF('Review Table'!D2:D18,"Not read")</f>
        <v>0</v>
      </c>
    </row>
    <row r="9" spans="1:2" x14ac:dyDescent="0.3">
      <c r="A9" s="9" t="s">
        <v>154</v>
      </c>
      <c r="B9" s="10">
        <f>MIN('Review Table'!F2:F18)</f>
        <v>1999</v>
      </c>
    </row>
    <row r="10" spans="1:2" x14ac:dyDescent="0.3">
      <c r="A10" s="9" t="s">
        <v>155</v>
      </c>
      <c r="B10" s="10">
        <f>MAX('Review Table'!F2:F18)</f>
        <v>2026</v>
      </c>
    </row>
    <row r="11" spans="1:2" x14ac:dyDescent="0.3">
      <c r="A11" s="9" t="s">
        <v>156</v>
      </c>
      <c r="B11" s="10">
        <f>COUNTIF('Review Table'!G2:G18,"*voice*")+COUNTIF('Review Table'!G2:G18,"*speech*")+COUNTIF('Review Table'!G2:G18,"*spoken*")</f>
        <v>5</v>
      </c>
    </row>
    <row r="12" spans="1:2" x14ac:dyDescent="0.3">
      <c r="A12" s="9" t="s">
        <v>157</v>
      </c>
      <c r="B12" s="10">
        <f>COUNTIF('Review Table'!G2:G18,"*email*")+COUNTIF('Review Table'!G2:G18,"*spam*")+COUNTIF('Review Table'!G2:G18,"*inbox*")</f>
        <v>5</v>
      </c>
    </row>
    <row r="14" spans="1:2" x14ac:dyDescent="0.3">
      <c r="A14" s="12" t="s">
        <v>158</v>
      </c>
      <c r="B14" s="13"/>
    </row>
    <row r="15" spans="1:2" x14ac:dyDescent="0.3">
      <c r="A15" s="13"/>
      <c r="B15" s="13"/>
    </row>
    <row r="16" spans="1:2" x14ac:dyDescent="0.3">
      <c r="A16" s="13"/>
      <c r="B16" s="13"/>
    </row>
  </sheetData>
  <mergeCells count="1">
    <mergeCell ref="A14:B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tabSelected="1" workbookViewId="0">
      <selection activeCell="A12" sqref="A12"/>
    </sheetView>
  </sheetViews>
  <sheetFormatPr defaultRowHeight="14.4" x14ac:dyDescent="0.3"/>
  <cols>
    <col min="1" max="1" width="150" customWidth="1"/>
  </cols>
  <sheetData>
    <row r="1" spans="1:1" ht="17.399999999999999" x14ac:dyDescent="0.3">
      <c r="A1" s="6" t="s">
        <v>159</v>
      </c>
    </row>
    <row r="3" spans="1:1" x14ac:dyDescent="0.3">
      <c r="A3" s="11" t="s">
        <v>160</v>
      </c>
    </row>
    <row r="4" spans="1:1" ht="27.6" x14ac:dyDescent="0.3">
      <c r="A4" s="11" t="s">
        <v>161</v>
      </c>
    </row>
    <row r="5" spans="1:1" ht="27.6" x14ac:dyDescent="0.3">
      <c r="A5" s="11" t="s">
        <v>162</v>
      </c>
    </row>
    <row r="6" spans="1:1" ht="27.6" x14ac:dyDescent="0.3">
      <c r="A6" s="11" t="s">
        <v>163</v>
      </c>
    </row>
    <row r="7" spans="1:1" x14ac:dyDescent="0.3">
      <c r="A7" s="11" t="s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Review Table</vt:lpstr>
      <vt:lpstr>Dashboard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</cp:lastModifiedBy>
  <dcterms:created xsi:type="dcterms:W3CDTF">2026-10-16T02:52:14Z</dcterms:created>
  <dcterms:modified xsi:type="dcterms:W3CDTF">2026-10-16T03:24:07Z</dcterms:modified>
</cp:coreProperties>
</file>